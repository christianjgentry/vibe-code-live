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Format" sheetId="1" state="visible" r:id="rId3"/>
    <sheet name="Financial Model" sheetId="2" state="visible" r:id="rId4"/>
    <sheet name="Bar Partnership" sheetId="3" state="visible" r:id="rId5"/>
    <sheet name="Prizes &amp; Engagement" sheetId="4" state="visible" r:id="rId6"/>
    <sheet name="Pricing Ti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<sst xmlns="http://schemas.openxmlformats.org/spreadsheetml/2006/main" count="268" uniqueCount="248">
  <si>
    <t xml:space="preserve">VIBE CODE LIVE - Event Format &amp; Timeline</t>
  </si>
  <si>
    <t xml:space="preserve">EVENT OVERVIEW</t>
  </si>
  <si>
    <t xml:space="preserve">Concept</t>
  </si>
  <si>
    <t xml:space="preserve">Live coding show where a dev builds an app from audience prompts while an MC explains and engages</t>
  </si>
  <si>
    <t xml:space="preserve">Duration</t>
  </si>
  <si>
    <t xml:space="preserve">2-3 hours (flexible based on venue)</t>
  </si>
  <si>
    <t xml:space="preserve">Venue Type</t>
  </si>
  <si>
    <t xml:space="preserve">Tech-friendly bar with projector/screen capability</t>
  </si>
  <si>
    <t xml:space="preserve">Target Audience</t>
  </si>
  <si>
    <t xml:space="preserve">Tech curious, developers, entrepreneurs, students</t>
  </si>
  <si>
    <t xml:space="preserve">Unique Value</t>
  </si>
  <si>
    <t xml:space="preserve">Education meets entertainment - learn coding concepts while having fun</t>
  </si>
  <si>
    <t xml:space="preserve">EVENT TIMELINE</t>
  </si>
  <si>
    <t xml:space="preserve">Time</t>
  </si>
  <si>
    <t xml:space="preserve">Segment</t>
  </si>
  <si>
    <t xml:space="preserve">Activity</t>
  </si>
  <si>
    <t xml:space="preserve">MC Role</t>
  </si>
  <si>
    <t xml:space="preserve">Audience Engagement</t>
  </si>
  <si>
    <t xml:space="preserve">0:00</t>
  </si>
  <si>
    <t xml:space="preserve">Doors Open</t>
  </si>
  <si>
    <t xml:space="preserve">30 min</t>
  </si>
  <si>
    <t xml:space="preserve">Arrivals, drink redemption, mingling</t>
  </si>
  <si>
    <t xml:space="preserve">Welcome guests, explain format</t>
  </si>
  <si>
    <t xml:space="preserve">Get drink tickets, find seats</t>
  </si>
  <si>
    <t xml:space="preserve">0:30</t>
  </si>
  <si>
    <t xml:space="preserve">Kickoff</t>
  </si>
  <si>
    <t xml:space="preserve">10 min</t>
  </si>
  <si>
    <t xml:space="preserve">Intro, rules, first prompt collection</t>
  </si>
  <si>
    <t xml:space="preserve">Hype the crowd, explain voting</t>
  </si>
  <si>
    <t xml:space="preserve">Submit app ideas via QR code</t>
  </si>
  <si>
    <t xml:space="preserve">0:40</t>
  </si>
  <si>
    <t xml:space="preserve">Prompt Vote #1</t>
  </si>
  <si>
    <t xml:space="preserve">5 min</t>
  </si>
  <si>
    <t xml:space="preserve">Audience votes on top 3 ideas</t>
  </si>
  <si>
    <t xml:space="preserve">Narrate options, build excitement</t>
  </si>
  <si>
    <t xml:space="preserve">Vote on phones</t>
  </si>
  <si>
    <t xml:space="preserve">0:45</t>
  </si>
  <si>
    <t xml:space="preserve">Build Session 1</t>
  </si>
  <si>
    <t xml:space="preserve">25 min</t>
  </si>
  <si>
    <t xml:space="preserve">Dev starts building winning idea</t>
  </si>
  <si>
    <t xml:space="preserve">Explain what's happening, take questions</t>
  </si>
  <si>
    <t xml:space="preserve">Watch, ask questions, earn trivia points</t>
  </si>
  <si>
    <t xml:space="preserve">1:10</t>
  </si>
  <si>
    <t xml:space="preserve">Trivia Break</t>
  </si>
  <si>
    <t xml:space="preserve">Tech trivia with prizes</t>
  </si>
  <si>
    <t xml:space="preserve">Host trivia, award prizes</t>
  </si>
  <si>
    <t xml:space="preserve">Compete for swag</t>
  </si>
  <si>
    <t xml:space="preserve">1:20</t>
  </si>
  <si>
    <t xml:space="preserve">Build Session 2</t>
  </si>
  <si>
    <t xml:space="preserve">Continue building, add features</t>
  </si>
  <si>
    <t xml:space="preserve">Deep dive explanations</t>
  </si>
  <si>
    <t xml:space="preserve">Suggest features via chat</t>
  </si>
  <si>
    <t xml:space="preserve">1:45</t>
  </si>
  <si>
    <t xml:space="preserve">Halftime</t>
  </si>
  <si>
    <t xml:space="preserve">15 min</t>
  </si>
  <si>
    <t xml:space="preserve">Break, networking, drink refills</t>
  </si>
  <si>
    <t xml:space="preserve">Mingle, answer questions</t>
  </si>
  <si>
    <t xml:space="preserve">Network, grab drinks</t>
  </si>
  <si>
    <t xml:space="preserve">2:00</t>
  </si>
  <si>
    <t xml:space="preserve">Build Session 3</t>
  </si>
  <si>
    <t xml:space="preserve">Polish and finalize app</t>
  </si>
  <si>
    <t xml:space="preserve">Explain deployment, testing</t>
  </si>
  <si>
    <t xml:space="preserve">Final feature votes</t>
  </si>
  <si>
    <t xml:space="preserve">2:25</t>
  </si>
  <si>
    <t xml:space="preserve">Demo &amp; Reveal</t>
  </si>
  <si>
    <t xml:space="preserve">Full app demo, celebration</t>
  </si>
  <si>
    <t xml:space="preserve">Build to climax, celebrate</t>
  </si>
  <si>
    <t xml:space="preserve">Applause, photos</t>
  </si>
  <si>
    <t xml:space="preserve">2:40</t>
  </si>
  <si>
    <t xml:space="preserve">Wrap Up</t>
  </si>
  <si>
    <t xml:space="preserve">20 min</t>
  </si>
  <si>
    <t xml:space="preserve">Q&amp;A, networking, prizes</t>
  </si>
  <si>
    <t xml:space="preserve">Thank sponsors, announce next event</t>
  </si>
  <si>
    <t xml:space="preserve">Connect, share contacts</t>
  </si>
  <si>
    <t xml:space="preserve">KEY ROLES</t>
  </si>
  <si>
    <t xml:space="preserve">Developer</t>
  </si>
  <si>
    <t xml:space="preserve">The star - skilled vibe coder who can build quickly while narrating thought process</t>
  </si>
  <si>
    <t xml:space="preserve">MC/Host</t>
  </si>
  <si>
    <t xml:space="preserve">Engages audience, explains concepts in accessible terms, manages energy levels</t>
  </si>
  <si>
    <t xml:space="preserve">Tech Support</t>
  </si>
  <si>
    <t xml:space="preserve">Manages AV, helps with audience voting system, troubleshoots</t>
  </si>
  <si>
    <t xml:space="preserve">Bar Liaison</t>
  </si>
  <si>
    <t xml:space="preserve">Coordinates with venue staff, manages drink flow</t>
  </si>
  <si>
    <t xml:space="preserve">VIBE CODE LIVE - Financial Model</t>
  </si>
  <si>
    <t xml:space="preserve">ASSUMPTIONS (Edit blue cells)</t>
  </si>
  <si>
    <t xml:space="preserve">Conservative</t>
  </si>
  <si>
    <t xml:space="preserve">Moderate</t>
  </si>
  <si>
    <t xml:space="preserve">Optimistic</t>
  </si>
  <si>
    <t xml:space="preserve">Ticket Price ($)</t>
  </si>
  <si>
    <t xml:space="preserve">Capacity</t>
  </si>
  <si>
    <t xml:space="preserve">Sell-through Rate (%)</t>
  </si>
  <si>
    <t xml:space="preserve">Drink Cost to You ($)</t>
  </si>
  <si>
    <t xml:space="preserve">Bar Revenue Share (%)</t>
  </si>
  <si>
    <t xml:space="preserve">Sponsor Revenue ($)</t>
  </si>
  <si>
    <t xml:space="preserve">REVENUE</t>
  </si>
  <si>
    <t xml:space="preserve">Attendees (Capacity × Sell-through)</t>
  </si>
  <si>
    <t xml:space="preserve">Ticket Revenue</t>
  </si>
  <si>
    <t xml:space="preserve">Sponsor Revenue</t>
  </si>
  <si>
    <t xml:space="preserve">TOTAL REVENUE</t>
  </si>
  <si>
    <t xml:space="preserve">COSTS</t>
  </si>
  <si>
    <t xml:space="preserve">Included Drinks (1 per attendee)</t>
  </si>
  <si>
    <t xml:space="preserve">Bar Revenue Share</t>
  </si>
  <si>
    <t xml:space="preserve">Prizes &amp; Swag</t>
  </si>
  <si>
    <t xml:space="preserve">Dev Payment</t>
  </si>
  <si>
    <t xml:space="preserve">MC Payment</t>
  </si>
  <si>
    <t xml:space="preserve">Tech/AV Costs</t>
  </si>
  <si>
    <t xml:space="preserve">Marketing/Eventbrite Fees</t>
  </si>
  <si>
    <t xml:space="preserve">Misc/Contingency</t>
  </si>
  <si>
    <t xml:space="preserve">TOTAL COSTS</t>
  </si>
  <si>
    <t xml:space="preserve">PROFIT SUMMARY</t>
  </si>
  <si>
    <t xml:space="preserve">NET PROFIT</t>
  </si>
  <si>
    <t xml:space="preserve">Profit Margin</t>
  </si>
  <si>
    <t xml:space="preserve">Profit per Attendee</t>
  </si>
  <si>
    <t xml:space="preserve">BAR PARTNERSHIP MODELS</t>
  </si>
  <si>
    <t xml:space="preserve">PARTNERSHIP STRUCTURES</t>
  </si>
  <si>
    <t xml:space="preserve">Model</t>
  </si>
  <si>
    <t xml:space="preserve">How It Works</t>
  </si>
  <si>
    <t xml:space="preserve">Your Upside</t>
  </si>
  <si>
    <t xml:space="preserve">Your Risk</t>
  </si>
  <si>
    <t xml:space="preserve">Best For</t>
  </si>
  <si>
    <t xml:space="preserve">Revenue Share</t>
  </si>
  <si>
    <t xml:space="preserve">Bar takes 8-15% of ticket sales</t>
  </si>
  <si>
    <t xml:space="preserve">Lower upfront cost, aligned incentives</t>
  </si>
  <si>
    <t xml:space="preserve">Less profit per ticket</t>
  </si>
  <si>
    <t xml:space="preserve">Starting out, building relationships</t>
  </si>
  <si>
    <t xml:space="preserve">Room Rental</t>
  </si>
  <si>
    <t xml:space="preserve">Pay flat fee ($200-500) for space</t>
  </si>
  <si>
    <t xml:space="preserve">Keep all ticket revenue</t>
  </si>
  <si>
    <t xml:space="preserve">Fixed cost even if low turnout</t>
  </si>
  <si>
    <t xml:space="preserve">Established events with predictable attendance</t>
  </si>
  <si>
    <t xml:space="preserve">Drink Minimum</t>
  </si>
  <si>
    <t xml:space="preserve">Guarantee $X bar spend</t>
  </si>
  <si>
    <t xml:space="preserve">Often no room fee</t>
  </si>
  <si>
    <t xml:space="preserve">Risk if attendance is low</t>
  </si>
  <si>
    <t xml:space="preserve">Events where drinking is a focus</t>
  </si>
  <si>
    <t xml:space="preserve">Hybrid</t>
  </si>
  <si>
    <t xml:space="preserve">Small fee + lower rev share</t>
  </si>
  <si>
    <t xml:space="preserve">Balanced risk/reward</t>
  </si>
  <si>
    <t xml:space="preserve">More complex negotiation</t>
  </si>
  <si>
    <t xml:space="preserve">Growing events with some track record</t>
  </si>
  <si>
    <t xml:space="preserve">Partnership</t>
  </si>
  <si>
    <t xml:space="preserve">Bar promotes, you split profits 50/50</t>
  </si>
  <si>
    <t xml:space="preserve">Built-in marketing, shared risk</t>
  </si>
  <si>
    <t xml:space="preserve">Less control, less profit</t>
  </si>
  <si>
    <t xml:space="preserve">Breaking into new venues/markets</t>
  </si>
  <si>
    <t xml:space="preserve">NEGOTIATION TALKING POINTS</t>
  </si>
  <si>
    <t xml:space="preserve">What You Offer the Bar</t>
  </si>
  <si>
    <t xml:space="preserve">Guaranteed foot traffic on slow nights, tech-savvy clientele with disposable income, unique event they can market</t>
  </si>
  <si>
    <t xml:space="preserve">What to Ask For</t>
  </si>
  <si>
    <t xml:space="preserve">Discounted drink prices, dedicated space, AV equipment, social media promotion, future booking priority</t>
  </si>
  <si>
    <t xml:space="preserve">Ideal Night</t>
  </si>
  <si>
    <t xml:space="preserve">Tuesday-Thursday (slower bar nights = better deals for you, bar needs traffic)</t>
  </si>
  <si>
    <t xml:space="preserve">Sweet Spot Capacity</t>
  </si>
  <si>
    <t xml:space="preserve">40-80 people - intimate enough for engagement, big enough for atmosphere</t>
  </si>
  <si>
    <t xml:space="preserve">Red Flags</t>
  </si>
  <si>
    <t xml:space="preserve">Bars that won't commit to space, excessive fees, no AV capability, loud competing events</t>
  </si>
  <si>
    <t xml:space="preserve">ENGAGEMENT &amp; PRIZE STRATEGY</t>
  </si>
  <si>
    <t xml:space="preserve">PRIZE BUDGET (per event)</t>
  </si>
  <si>
    <t xml:space="preserve">Prize Category</t>
  </si>
  <si>
    <t xml:space="preserve">Item Ideas</t>
  </si>
  <si>
    <t xml:space="preserve">Cost</t>
  </si>
  <si>
    <t xml:space="preserve">Qty</t>
  </si>
  <si>
    <t xml:space="preserve">Total</t>
  </si>
  <si>
    <t xml:space="preserve">Grand Prize</t>
  </si>
  <si>
    <t xml:space="preserve">Mechanical keyboard, dev book bundle, course subscription</t>
  </si>
  <si>
    <t xml:space="preserve">Trivia Winners</t>
  </si>
  <si>
    <t xml:space="preserve">Stickers, small swag, drink vouchers</t>
  </si>
  <si>
    <t xml:space="preserve">Best Prompt</t>
  </si>
  <si>
    <t xml:space="preserve">Tech t-shirt, novelty item</t>
  </si>
  <si>
    <t xml:space="preserve">Random Drawing</t>
  </si>
  <si>
    <t xml:space="preserve">Branded merch, small gadgets</t>
  </si>
  <si>
    <t xml:space="preserve">TOTAL PRIZE BUDGET</t>
  </si>
  <si>
    <t xml:space="preserve">ENGAGEMENT MECHANICS</t>
  </si>
  <si>
    <t xml:space="preserve">Mechanism</t>
  </si>
  <si>
    <t xml:space="preserve">Tech Needed</t>
  </si>
  <si>
    <t xml:space="preserve">Engagement Level</t>
  </si>
  <si>
    <t xml:space="preserve">Prompt Voting</t>
  </si>
  <si>
    <t xml:space="preserve">Audience submits app ideas, votes on favorites</t>
  </si>
  <si>
    <t xml:space="preserve">Google Form + live results display</t>
  </si>
  <si>
    <t xml:space="preserve">★★★★★</t>
  </si>
  <si>
    <t xml:space="preserve">Live Q&amp;A</t>
  </si>
  <si>
    <t xml:space="preserve">Audience asks questions via chat, MC selects</t>
  </si>
  <si>
    <t xml:space="preserve">Slido or similar</t>
  </si>
  <si>
    <t xml:space="preserve">★★★★☆</t>
  </si>
  <si>
    <t xml:space="preserve">Tech Trivia</t>
  </si>
  <si>
    <t xml:space="preserve">Multiple choice questions between sessions</t>
  </si>
  <si>
    <t xml:space="preserve">Kahoot or custom app</t>
  </si>
  <si>
    <t xml:space="preserve">Feature Voting</t>
  </si>
  <si>
    <t xml:space="preserve">Real-time votes on what to add next</t>
  </si>
  <si>
    <t xml:space="preserve">Simple poll tool</t>
  </si>
  <si>
    <t xml:space="preserve">Prediction Game</t>
  </si>
  <si>
    <t xml:space="preserve">Guess if code will work on first try</t>
  </si>
  <si>
    <t xml:space="preserve">Show of hands or app</t>
  </si>
  <si>
    <t xml:space="preserve">★★★☆☆</t>
  </si>
  <si>
    <t xml:space="preserve">Social Sharing</t>
  </si>
  <si>
    <t xml:space="preserve">Post with hashtag for raffle entry</t>
  </si>
  <si>
    <t xml:space="preserve">Event hashtag</t>
  </si>
  <si>
    <t xml:space="preserve">SUCCESS METRICS TO TRACK</t>
  </si>
  <si>
    <t xml:space="preserve">Ticket sell-through rate</t>
  </si>
  <si>
    <t xml:space="preserve">Target: 85%+</t>
  </si>
  <si>
    <t xml:space="preserve">Audience retention</t>
  </si>
  <si>
    <t xml:space="preserve">How many stay until the end?</t>
  </si>
  <si>
    <t xml:space="preserve">NPS / satisfaction</t>
  </si>
  <si>
    <t xml:space="preserve">Post-event survey score</t>
  </si>
  <si>
    <t xml:space="preserve">Social mentions</t>
  </si>
  <si>
    <t xml:space="preserve">Hashtag usage, shares</t>
  </si>
  <si>
    <t xml:space="preserve">Return attendees</t>
  </si>
  <si>
    <t xml:space="preserve">% who come to next event</t>
  </si>
  <si>
    <t xml:space="preserve">Email signups</t>
  </si>
  <si>
    <t xml:space="preserve">Newsletter/next event interest</t>
  </si>
  <si>
    <t xml:space="preserve">TICKET PRICING STRATEGIES</t>
  </si>
  <si>
    <t xml:space="preserve">TIERED PRICING MODEL</t>
  </si>
  <si>
    <t xml:space="preserve">Tier</t>
  </si>
  <si>
    <t xml:space="preserve">Price</t>
  </si>
  <si>
    <t xml:space="preserve">Includes</t>
  </si>
  <si>
    <t xml:space="preserve">Limit</t>
  </si>
  <si>
    <t xml:space="preserve">Revenue</t>
  </si>
  <si>
    <t xml:space="preserve">Margin</t>
  </si>
  <si>
    <t xml:space="preserve">Early Bird</t>
  </si>
  <si>
    <t xml:space="preserve">1 drink ticket, general seating</t>
  </si>
  <si>
    <t xml:space="preserve">General Admission</t>
  </si>
  <si>
    <t xml:space="preserve">VIP</t>
  </si>
  <si>
    <t xml:space="preserve">2 drink tickets, front row, meet the dev</t>
  </si>
  <si>
    <t xml:space="preserve">TOTAL</t>
  </si>
  <si>
    <t xml:space="preserve">ALTERNATIVE PRICING MODELS</t>
  </si>
  <si>
    <t xml:space="preserve">Description</t>
  </si>
  <si>
    <t xml:space="preserve">Pros</t>
  </si>
  <si>
    <t xml:space="preserve">Cons</t>
  </si>
  <si>
    <t xml:space="preserve">Flat Pricing</t>
  </si>
  <si>
    <t xml:space="preserve">One price for everyone ($40)</t>
  </si>
  <si>
    <t xml:space="preserve">Simple, easy to market</t>
  </si>
  <si>
    <t xml:space="preserve">No urgency, no upsell</t>
  </si>
  <si>
    <t xml:space="preserve">PWYW (floor)</t>
  </si>
  <si>
    <t xml:space="preserve">Pay what you want with $25 minimum</t>
  </si>
  <si>
    <t xml:space="preserve">Accessible, good PR</t>
  </si>
  <si>
    <t xml:space="preserve">Revenue unpredictable</t>
  </si>
  <si>
    <t xml:space="preserve">Subscription</t>
  </si>
  <si>
    <t xml:space="preserve">Monthly pass for recurring events</t>
  </si>
  <si>
    <t xml:space="preserve">Predictable revenue, loyalty</t>
  </si>
  <si>
    <t xml:space="preserve">Requires consistent schedule</t>
  </si>
  <si>
    <t xml:space="preserve">Corporate Tables</t>
  </si>
  <si>
    <t xml:space="preserve">Reserved section for companies ($200/4 seats)</t>
  </si>
  <si>
    <t xml:space="preserve">Higher revenue, B2B networking</t>
  </si>
  <si>
    <t xml:space="preserve">Requires sales effort</t>
  </si>
  <si>
    <t xml:space="preserve">Freemium</t>
  </si>
  <si>
    <t xml:space="preserve">Free entry, charge for drinks</t>
  </si>
  <si>
    <t xml:space="preserve">Maximum attendance</t>
  </si>
  <si>
    <t xml:space="preserve">Depends on bar deal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</si>
</sst>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%"/>
    <numFmt numFmtId="167" formatCode="0"/>
    <numFmt numFmtId="168" formatCode="0.0%"/>
    <numFmt numFmtId="169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75B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6" min="5" style="0" width="3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  <c r="E8" s="4"/>
      <c r="F8" s="4"/>
    </row>
    <row r="11" customFormat="false" ht="17.3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4</v>
      </c>
      <c r="D12" s="5" t="s">
        <v>15</v>
      </c>
      <c r="E12" s="5" t="s">
        <v>16</v>
      </c>
      <c r="F12" s="5" t="s">
        <v>17</v>
      </c>
    </row>
    <row r="13" customFormat="false" ht="15" hidden="false" customHeight="false" outlineLevel="0" collapsed="false">
      <c r="A13" s="6" t="s">
        <v>18</v>
      </c>
      <c r="B13" s="6" t="s">
        <v>19</v>
      </c>
      <c r="C13" s="6" t="s">
        <v>20</v>
      </c>
      <c r="D13" s="6" t="s">
        <v>21</v>
      </c>
      <c r="E13" s="6" t="s">
        <v>22</v>
      </c>
      <c r="F13" s="6" t="s">
        <v>23</v>
      </c>
    </row>
    <row r="14" customFormat="false" ht="15" hidden="false" customHeight="false" outlineLevel="0" collapsed="false">
      <c r="A14" s="7" t="s">
        <v>24</v>
      </c>
      <c r="B14" s="7" t="s">
        <v>25</v>
      </c>
      <c r="C14" s="7" t="s">
        <v>26</v>
      </c>
      <c r="D14" s="7" t="s">
        <v>27</v>
      </c>
      <c r="E14" s="7" t="s">
        <v>28</v>
      </c>
      <c r="F14" s="7" t="s">
        <v>29</v>
      </c>
    </row>
    <row r="15" customFormat="false" ht="15" hidden="false" customHeight="false" outlineLevel="0" collapsed="false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34</v>
      </c>
      <c r="F15" s="6" t="s">
        <v>35</v>
      </c>
    </row>
    <row r="16" customFormat="false" ht="15" hidden="false" customHeight="false" outlineLevel="0" collapsed="false">
      <c r="A16" s="7" t="s">
        <v>36</v>
      </c>
      <c r="B16" s="7" t="s">
        <v>37</v>
      </c>
      <c r="C16" s="7" t="s">
        <v>38</v>
      </c>
      <c r="D16" s="7" t="s">
        <v>39</v>
      </c>
      <c r="E16" s="7" t="s">
        <v>40</v>
      </c>
      <c r="F16" s="7" t="s">
        <v>41</v>
      </c>
    </row>
    <row r="17" customFormat="false" ht="15" hidden="false" customHeight="false" outlineLevel="0" collapsed="false">
      <c r="A17" s="6" t="s">
        <v>42</v>
      </c>
      <c r="B17" s="6" t="s">
        <v>43</v>
      </c>
      <c r="C17" s="6" t="s">
        <v>26</v>
      </c>
      <c r="D17" s="6" t="s">
        <v>44</v>
      </c>
      <c r="E17" s="6" t="s">
        <v>45</v>
      </c>
      <c r="F17" s="6" t="s">
        <v>46</v>
      </c>
    </row>
    <row r="18" customFormat="false" ht="15" hidden="false" customHeight="false" outlineLevel="0" collapsed="false">
      <c r="A18" s="7" t="s">
        <v>47</v>
      </c>
      <c r="B18" s="7" t="s">
        <v>48</v>
      </c>
      <c r="C18" s="7" t="s">
        <v>38</v>
      </c>
      <c r="D18" s="7" t="s">
        <v>49</v>
      </c>
      <c r="E18" s="7" t="s">
        <v>50</v>
      </c>
      <c r="F18" s="7" t="s">
        <v>51</v>
      </c>
    </row>
    <row r="19" customFormat="false" ht="15" hidden="false" customHeight="false" outlineLevel="0" collapsed="false">
      <c r="A19" s="6" t="s">
        <v>52</v>
      </c>
      <c r="B19" s="6" t="s">
        <v>53</v>
      </c>
      <c r="C19" s="6" t="s">
        <v>54</v>
      </c>
      <c r="D19" s="6" t="s">
        <v>55</v>
      </c>
      <c r="E19" s="6" t="s">
        <v>56</v>
      </c>
      <c r="F19" s="6" t="s">
        <v>57</v>
      </c>
    </row>
    <row r="20" customFormat="false" ht="15" hidden="false" customHeight="false" outlineLevel="0" collapsed="false">
      <c r="A20" s="7" t="s">
        <v>58</v>
      </c>
      <c r="B20" s="7" t="s">
        <v>59</v>
      </c>
      <c r="C20" s="7" t="s">
        <v>38</v>
      </c>
      <c r="D20" s="7" t="s">
        <v>60</v>
      </c>
      <c r="E20" s="7" t="s">
        <v>61</v>
      </c>
      <c r="F20" s="7" t="s">
        <v>62</v>
      </c>
    </row>
    <row r="21" customFormat="false" ht="15" hidden="false" customHeight="false" outlineLevel="0" collapsed="false">
      <c r="A21" s="6" t="s">
        <v>63</v>
      </c>
      <c r="B21" s="6" t="s">
        <v>64</v>
      </c>
      <c r="C21" s="6" t="s">
        <v>54</v>
      </c>
      <c r="D21" s="6" t="s">
        <v>65</v>
      </c>
      <c r="E21" s="6" t="s">
        <v>66</v>
      </c>
      <c r="F21" s="6" t="s">
        <v>67</v>
      </c>
    </row>
    <row r="22" customFormat="false" ht="15" hidden="false" customHeight="false" outlineLevel="0" collapsed="false">
      <c r="A22" s="7" t="s">
        <v>68</v>
      </c>
      <c r="B22" s="7" t="s">
        <v>69</v>
      </c>
      <c r="C22" s="7" t="s">
        <v>70</v>
      </c>
      <c r="D22" s="7" t="s">
        <v>71</v>
      </c>
      <c r="E22" s="7" t="s">
        <v>72</v>
      </c>
      <c r="F22" s="7" t="s">
        <v>73</v>
      </c>
    </row>
    <row r="25" customFormat="false" ht="17.35" hidden="false" customHeight="false" outlineLevel="0" collapsed="false">
      <c r="A25" s="2" t="s">
        <v>74</v>
      </c>
    </row>
    <row r="26" customFormat="false" ht="15" hidden="false" customHeight="false" outlineLevel="0" collapsed="false">
      <c r="A26" s="3" t="s">
        <v>75</v>
      </c>
      <c r="B26" s="4" t="s">
        <v>76</v>
      </c>
      <c r="C26" s="4"/>
      <c r="D26" s="4"/>
      <c r="E26" s="4"/>
      <c r="F26" s="4"/>
    </row>
    <row r="27" customFormat="false" ht="15" hidden="false" customHeight="false" outlineLevel="0" collapsed="false">
      <c r="A27" s="3" t="s">
        <v>77</v>
      </c>
      <c r="B27" s="4" t="s">
        <v>78</v>
      </c>
      <c r="C27" s="4"/>
      <c r="D27" s="4"/>
      <c r="E27" s="4"/>
      <c r="F27" s="4"/>
    </row>
    <row r="28" customFormat="false" ht="15" hidden="false" customHeight="false" outlineLevel="0" collapsed="false">
      <c r="A28" s="3" t="s">
        <v>79</v>
      </c>
      <c r="B28" s="4" t="s">
        <v>80</v>
      </c>
      <c r="C28" s="4"/>
      <c r="D28" s="4"/>
      <c r="E28" s="4"/>
      <c r="F28" s="4"/>
    </row>
    <row r="29" customFormat="false" ht="15" hidden="false" customHeight="false" outlineLevel="0" collapsed="false">
      <c r="A29" s="3" t="s">
        <v>81</v>
      </c>
      <c r="B29" s="4" t="s">
        <v>82</v>
      </c>
      <c r="C29" s="4"/>
      <c r="D29" s="4"/>
      <c r="E29" s="4"/>
      <c r="F29" s="4"/>
    </row>
  </sheetData>
  <mergeCells count="10">
    <mergeCell ref="A1:F1"/>
    <mergeCell ref="B4:F4"/>
    <mergeCell ref="B5:F5"/>
    <mergeCell ref="B6:F6"/>
    <mergeCell ref="B7:F7"/>
    <mergeCell ref="B8:F8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</cols>
  <sheetData>
    <row r="1" customFormat="false" ht="22.05" hidden="false" customHeight="false" outlineLevel="0" collapsed="false">
      <c r="A1" s="1" t="s">
        <v>83</v>
      </c>
      <c r="B1" s="1"/>
      <c r="C1" s="1"/>
      <c r="D1" s="1"/>
      <c r="E1" s="1"/>
      <c r="F1" s="1"/>
      <c r="G1" s="1"/>
    </row>
    <row r="3" customFormat="false" ht="17.35" hidden="false" customHeight="false" outlineLevel="0" collapsed="false">
      <c r="A3" s="8" t="s">
        <v>84</v>
      </c>
    </row>
    <row r="4" customFormat="false" ht="15" hidden="false" customHeight="false" outlineLevel="0" collapsed="false">
      <c r="A4" s="5"/>
      <c r="B4" s="5" t="s">
        <v>85</v>
      </c>
      <c r="C4" s="5" t="s">
        <v>86</v>
      </c>
      <c r="D4" s="5" t="s">
        <v>87</v>
      </c>
    </row>
    <row r="5" customFormat="false" ht="15" hidden="false" customHeight="false" outlineLevel="0" collapsed="false">
      <c r="A5" s="9" t="s">
        <v>88</v>
      </c>
      <c r="B5" s="10" t="n">
        <v>35</v>
      </c>
      <c r="C5" s="10" t="n">
        <v>45</v>
      </c>
      <c r="D5" s="10" t="n">
        <v>55</v>
      </c>
    </row>
    <row r="6" customFormat="false" ht="15" hidden="false" customHeight="false" outlineLevel="0" collapsed="false">
      <c r="A6" s="9" t="s">
        <v>89</v>
      </c>
      <c r="B6" s="10" t="n">
        <v>40</v>
      </c>
      <c r="C6" s="10" t="n">
        <v>60</v>
      </c>
      <c r="D6" s="10" t="n">
        <v>80</v>
      </c>
    </row>
    <row r="7" customFormat="false" ht="15" hidden="false" customHeight="false" outlineLevel="0" collapsed="false">
      <c r="A7" s="9" t="s">
        <v>90</v>
      </c>
      <c r="B7" s="11" t="n">
        <v>0.7</v>
      </c>
      <c r="C7" s="11" t="n">
        <v>0.85</v>
      </c>
      <c r="D7" s="11" t="n">
        <v>0.95</v>
      </c>
    </row>
    <row r="8" customFormat="false" ht="15" hidden="false" customHeight="false" outlineLevel="0" collapsed="false">
      <c r="A8" s="9" t="s">
        <v>91</v>
      </c>
      <c r="B8" s="10" t="n">
        <v>6</v>
      </c>
      <c r="C8" s="10" t="n">
        <v>6</v>
      </c>
      <c r="D8" s="10" t="n">
        <v>6</v>
      </c>
    </row>
    <row r="9" customFormat="false" ht="15" hidden="false" customHeight="false" outlineLevel="0" collapsed="false">
      <c r="A9" s="9" t="s">
        <v>92</v>
      </c>
      <c r="B9" s="11" t="n">
        <v>0.15</v>
      </c>
      <c r="C9" s="11" t="n">
        <v>0.1</v>
      </c>
      <c r="D9" s="11" t="n">
        <v>0.08</v>
      </c>
    </row>
    <row r="10" customFormat="false" ht="15" hidden="false" customHeight="false" outlineLevel="0" collapsed="false">
      <c r="A10" s="9" t="s">
        <v>93</v>
      </c>
      <c r="B10" s="12" t="n">
        <v>0</v>
      </c>
      <c r="C10" s="10" t="n">
        <v>250</v>
      </c>
      <c r="D10" s="10" t="n">
        <v>500</v>
      </c>
    </row>
    <row r="13" customFormat="false" ht="17.35" hidden="false" customHeight="false" outlineLevel="0" collapsed="false">
      <c r="A13" s="2" t="s">
        <v>94</v>
      </c>
    </row>
    <row r="14" customFormat="false" ht="15" hidden="false" customHeight="false" outlineLevel="0" collapsed="false">
      <c r="A14" s="5"/>
      <c r="B14" s="5" t="s">
        <v>85</v>
      </c>
      <c r="C14" s="5" t="s">
        <v>86</v>
      </c>
      <c r="D14" s="5" t="s">
        <v>87</v>
      </c>
    </row>
    <row r="15" customFormat="false" ht="15" hidden="false" customHeight="false" outlineLevel="0" collapsed="false">
      <c r="A15" s="9" t="s">
        <v>95</v>
      </c>
      <c r="B15" s="13" t="n">
        <f aca="false">ROUND(B6*B7,0)</f>
        <v>28</v>
      </c>
      <c r="C15" s="13" t="n">
        <f aca="false">ROUND(C6*C7,0)</f>
        <v>51</v>
      </c>
      <c r="D15" s="13" t="n">
        <f aca="false">ROUND(D6*D7,0)</f>
        <v>76</v>
      </c>
    </row>
    <row r="16" customFormat="false" ht="15" hidden="false" customHeight="false" outlineLevel="0" collapsed="false">
      <c r="A16" s="9" t="s">
        <v>96</v>
      </c>
      <c r="B16" s="14" t="n">
        <f aca="false">B5*B15</f>
        <v>980</v>
      </c>
      <c r="C16" s="14" t="n">
        <f aca="false">C5*C15</f>
        <v>2295</v>
      </c>
      <c r="D16" s="14" t="n">
        <f aca="false">D5*D15</f>
        <v>4180</v>
      </c>
    </row>
    <row r="17" customFormat="false" ht="15" hidden="false" customHeight="false" outlineLevel="0" collapsed="false">
      <c r="A17" s="9" t="s">
        <v>97</v>
      </c>
      <c r="B17" s="14" t="n">
        <f aca="false">B10</f>
        <v>0</v>
      </c>
      <c r="C17" s="14" t="n">
        <f aca="false">C10</f>
        <v>250</v>
      </c>
      <c r="D17" s="14" t="n">
        <f aca="false">D10</f>
        <v>500</v>
      </c>
    </row>
    <row r="18" customFormat="false" ht="15" hidden="false" customHeight="false" outlineLevel="0" collapsed="false">
      <c r="A18" s="15" t="s">
        <v>98</v>
      </c>
      <c r="B18" s="16" t="n">
        <f aca="false">B16+B17</f>
        <v>980</v>
      </c>
      <c r="C18" s="16" t="n">
        <f aca="false">C16+C17</f>
        <v>2545</v>
      </c>
      <c r="D18" s="16" t="n">
        <f aca="false">D16+D17</f>
        <v>4680</v>
      </c>
    </row>
    <row r="20" customFormat="false" ht="17.35" hidden="false" customHeight="false" outlineLevel="0" collapsed="false">
      <c r="A20" s="2" t="s">
        <v>99</v>
      </c>
    </row>
    <row r="21" customFormat="false" ht="15" hidden="false" customHeight="false" outlineLevel="0" collapsed="false">
      <c r="A21" s="5"/>
      <c r="B21" s="5" t="s">
        <v>85</v>
      </c>
      <c r="C21" s="5" t="s">
        <v>86</v>
      </c>
      <c r="D21" s="5" t="s">
        <v>87</v>
      </c>
    </row>
    <row r="22" customFormat="false" ht="15" hidden="false" customHeight="false" outlineLevel="0" collapsed="false">
      <c r="A22" s="9" t="s">
        <v>100</v>
      </c>
      <c r="B22" s="14" t="n">
        <f aca="false">B8*B15</f>
        <v>168</v>
      </c>
      <c r="C22" s="14" t="n">
        <f aca="false">C8*C15</f>
        <v>306</v>
      </c>
      <c r="D22" s="14" t="n">
        <f aca="false">D8*D15</f>
        <v>456</v>
      </c>
    </row>
    <row r="23" customFormat="false" ht="15" hidden="false" customHeight="false" outlineLevel="0" collapsed="false">
      <c r="A23" s="9" t="s">
        <v>101</v>
      </c>
      <c r="B23" s="14" t="n">
        <f aca="false">B9*B16</f>
        <v>147</v>
      </c>
      <c r="C23" s="14" t="n">
        <f aca="false">C9*C16</f>
        <v>229.5</v>
      </c>
      <c r="D23" s="14" t="n">
        <f aca="false">D9*D16</f>
        <v>334.4</v>
      </c>
    </row>
    <row r="24" customFormat="false" ht="15" hidden="false" customHeight="false" outlineLevel="0" collapsed="false">
      <c r="A24" s="9" t="s">
        <v>102</v>
      </c>
      <c r="B24" s="10" t="n">
        <v>75</v>
      </c>
      <c r="C24" s="10" t="n">
        <v>100</v>
      </c>
      <c r="D24" s="10" t="n">
        <v>150</v>
      </c>
    </row>
    <row r="25" customFormat="false" ht="15" hidden="false" customHeight="false" outlineLevel="0" collapsed="false">
      <c r="A25" s="9" t="s">
        <v>103</v>
      </c>
      <c r="B25" s="10" t="n">
        <v>150</v>
      </c>
      <c r="C25" s="10" t="n">
        <v>200</v>
      </c>
      <c r="D25" s="10" t="n">
        <v>300</v>
      </c>
    </row>
    <row r="26" customFormat="false" ht="15" hidden="false" customHeight="false" outlineLevel="0" collapsed="false">
      <c r="A26" s="9" t="s">
        <v>104</v>
      </c>
      <c r="B26" s="10" t="n">
        <v>100</v>
      </c>
      <c r="C26" s="10" t="n">
        <v>150</v>
      </c>
      <c r="D26" s="10" t="n">
        <v>200</v>
      </c>
    </row>
    <row r="27" customFormat="false" ht="15" hidden="false" customHeight="false" outlineLevel="0" collapsed="false">
      <c r="A27" s="9" t="s">
        <v>105</v>
      </c>
      <c r="B27" s="10" t="n">
        <v>50</v>
      </c>
      <c r="C27" s="10" t="n">
        <v>75</v>
      </c>
      <c r="D27" s="10" t="n">
        <v>100</v>
      </c>
    </row>
    <row r="28" customFormat="false" ht="15" hidden="false" customHeight="false" outlineLevel="0" collapsed="false">
      <c r="A28" s="9" t="s">
        <v>106</v>
      </c>
      <c r="B28" s="14" t="n">
        <f aca="false">B16*0.08</f>
        <v>78.4</v>
      </c>
      <c r="C28" s="14" t="n">
        <f aca="false">C16*0.08</f>
        <v>183.6</v>
      </c>
      <c r="D28" s="14" t="n">
        <f aca="false">D16*0.08</f>
        <v>334.4</v>
      </c>
    </row>
    <row r="29" customFormat="false" ht="15" hidden="false" customHeight="false" outlineLevel="0" collapsed="false">
      <c r="A29" s="9" t="s">
        <v>107</v>
      </c>
      <c r="B29" s="10" t="n">
        <v>50</v>
      </c>
      <c r="C29" s="10" t="n">
        <v>75</v>
      </c>
      <c r="D29" s="10" t="n">
        <v>100</v>
      </c>
    </row>
    <row r="30" customFormat="false" ht="15" hidden="false" customHeight="false" outlineLevel="0" collapsed="false">
      <c r="A30" s="17" t="s">
        <v>108</v>
      </c>
      <c r="B30" s="18" t="n">
        <f aca="false">SUM(B22:B29)</f>
        <v>818.4</v>
      </c>
      <c r="C30" s="18" t="n">
        <f aca="false">SUM(C22:C29)</f>
        <v>1319.1</v>
      </c>
      <c r="D30" s="18" t="n">
        <f aca="false">SUM(D22:D29)</f>
        <v>1974.8</v>
      </c>
    </row>
    <row r="32" customFormat="false" ht="17.35" hidden="false" customHeight="false" outlineLevel="0" collapsed="false">
      <c r="A32" s="2" t="s">
        <v>109</v>
      </c>
    </row>
    <row r="33" customFormat="false" ht="15" hidden="false" customHeight="false" outlineLevel="0" collapsed="false">
      <c r="A33" s="5"/>
      <c r="B33" s="5" t="s">
        <v>85</v>
      </c>
      <c r="C33" s="5" t="s">
        <v>86</v>
      </c>
      <c r="D33" s="5" t="s">
        <v>87</v>
      </c>
    </row>
    <row r="34" customFormat="false" ht="15" hidden="false" customHeight="false" outlineLevel="0" collapsed="false">
      <c r="A34" s="9" t="s">
        <v>110</v>
      </c>
      <c r="B34" s="19" t="n">
        <f aca="false">B18-B30</f>
        <v>161.6</v>
      </c>
      <c r="C34" s="19" t="n">
        <f aca="false">C18-C30</f>
        <v>1225.9</v>
      </c>
      <c r="D34" s="19" t="n">
        <f aca="false">D18-D30</f>
        <v>2705.2</v>
      </c>
    </row>
    <row r="35" customFormat="false" ht="15" hidden="false" customHeight="false" outlineLevel="0" collapsed="false">
      <c r="A35" s="9" t="s">
        <v>111</v>
      </c>
      <c r="B35" s="20" t="n">
        <f aca="false">IF(B18&gt;0,B34/B18,0)</f>
        <v>0.164897959183674</v>
      </c>
      <c r="C35" s="20" t="n">
        <f aca="false">IF(C18&gt;0,C34/C18,0)</f>
        <v>0.481689587426326</v>
      </c>
      <c r="D35" s="20" t="n">
        <f aca="false">IF(D18&gt;0,D34/D18,0)</f>
        <v>0.578034188034188</v>
      </c>
    </row>
    <row r="36" customFormat="false" ht="15" hidden="false" customHeight="false" outlineLevel="0" collapsed="false">
      <c r="A36" s="9" t="s">
        <v>112</v>
      </c>
      <c r="B36" s="21" t="n">
        <f aca="false">IF(B15&gt;0,B34/B15,0)</f>
        <v>5.77142857142857</v>
      </c>
      <c r="C36" s="21" t="n">
        <f aca="false">IF(C15&gt;0,C34/C15,0)</f>
        <v>24.0372549019608</v>
      </c>
      <c r="D36" s="21" t="n">
        <f aca="false">IF(D15&gt;0,D34/D15,0)</f>
        <v>35.5947368421053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30"/>
  </cols>
  <sheetData>
    <row r="1" customFormat="false" ht="22.05" hidden="false" customHeight="false" outlineLevel="0" collapsed="false">
      <c r="A1" s="1" t="s">
        <v>113</v>
      </c>
      <c r="B1" s="1"/>
      <c r="C1" s="1"/>
      <c r="D1" s="1"/>
      <c r="E1" s="1"/>
    </row>
    <row r="3" customFormat="false" ht="17.35" hidden="false" customHeight="false" outlineLevel="0" collapsed="false">
      <c r="A3" s="2" t="s">
        <v>114</v>
      </c>
    </row>
    <row r="4" customFormat="false" ht="15" hidden="false" customHeight="fals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</row>
    <row r="5" customFormat="false" ht="15" hidden="false" customHeight="false" outlineLevel="0" collapsed="false">
      <c r="A5" s="9" t="s">
        <v>120</v>
      </c>
      <c r="B5" s="6" t="s">
        <v>121</v>
      </c>
      <c r="C5" s="6" t="s">
        <v>122</v>
      </c>
      <c r="D5" s="6" t="s">
        <v>123</v>
      </c>
      <c r="E5" s="6" t="s">
        <v>124</v>
      </c>
    </row>
    <row r="6" customFormat="false" ht="15" hidden="false" customHeight="false" outlineLevel="0" collapsed="false">
      <c r="A6" s="22" t="s">
        <v>125</v>
      </c>
      <c r="B6" s="7" t="s">
        <v>126</v>
      </c>
      <c r="C6" s="7" t="s">
        <v>127</v>
      </c>
      <c r="D6" s="7" t="s">
        <v>128</v>
      </c>
      <c r="E6" s="7" t="s">
        <v>129</v>
      </c>
    </row>
    <row r="7" customFormat="false" ht="15" hidden="false" customHeight="false" outlineLevel="0" collapsed="false">
      <c r="A7" s="9" t="s">
        <v>130</v>
      </c>
      <c r="B7" s="6" t="s">
        <v>131</v>
      </c>
      <c r="C7" s="6" t="s">
        <v>132</v>
      </c>
      <c r="D7" s="6" t="s">
        <v>133</v>
      </c>
      <c r="E7" s="6" t="s">
        <v>134</v>
      </c>
    </row>
    <row r="8" customFormat="false" ht="15" hidden="false" customHeight="false" outlineLevel="0" collapsed="false">
      <c r="A8" s="22" t="s">
        <v>135</v>
      </c>
      <c r="B8" s="7" t="s">
        <v>136</v>
      </c>
      <c r="C8" s="7" t="s">
        <v>137</v>
      </c>
      <c r="D8" s="7" t="s">
        <v>138</v>
      </c>
      <c r="E8" s="7" t="s">
        <v>139</v>
      </c>
    </row>
    <row r="9" customFormat="false" ht="15" hidden="false" customHeight="false" outlineLevel="0" collapsed="false">
      <c r="A9" s="9" t="s">
        <v>140</v>
      </c>
      <c r="B9" s="6" t="s">
        <v>141</v>
      </c>
      <c r="C9" s="6" t="s">
        <v>142</v>
      </c>
      <c r="D9" s="6" t="s">
        <v>143</v>
      </c>
      <c r="E9" s="6" t="s">
        <v>144</v>
      </c>
    </row>
    <row r="12" customFormat="false" ht="17.35" hidden="false" customHeight="false" outlineLevel="0" collapsed="false">
      <c r="A12" s="2" t="s">
        <v>145</v>
      </c>
    </row>
    <row r="13" customFormat="false" ht="15" hidden="false" customHeight="false" outlineLevel="0" collapsed="false">
      <c r="A13" s="23" t="s">
        <v>146</v>
      </c>
      <c r="B13" s="4" t="s">
        <v>147</v>
      </c>
      <c r="C13" s="4"/>
      <c r="D13" s="4"/>
      <c r="E13" s="4"/>
    </row>
    <row r="14" customFormat="false" ht="15" hidden="false" customHeight="false" outlineLevel="0" collapsed="false">
      <c r="A14" s="23" t="s">
        <v>148</v>
      </c>
      <c r="B14" s="4" t="s">
        <v>149</v>
      </c>
      <c r="C14" s="4"/>
      <c r="D14" s="4"/>
      <c r="E14" s="4"/>
    </row>
    <row r="15" customFormat="false" ht="15" hidden="false" customHeight="false" outlineLevel="0" collapsed="false">
      <c r="A15" s="23" t="s">
        <v>150</v>
      </c>
      <c r="B15" s="4" t="s">
        <v>151</v>
      </c>
      <c r="C15" s="4"/>
      <c r="D15" s="4"/>
      <c r="E15" s="4"/>
    </row>
    <row r="16" customFormat="false" ht="15" hidden="false" customHeight="false" outlineLevel="0" collapsed="false">
      <c r="A16" s="23" t="s">
        <v>152</v>
      </c>
      <c r="B16" s="4" t="s">
        <v>153</v>
      </c>
      <c r="C16" s="4"/>
      <c r="D16" s="4"/>
      <c r="E16" s="4"/>
    </row>
    <row r="17" customFormat="false" ht="15" hidden="false" customHeight="false" outlineLevel="0" collapsed="false">
      <c r="A17" s="23" t="s">
        <v>154</v>
      </c>
      <c r="B17" s="4" t="s">
        <v>155</v>
      </c>
      <c r="C17" s="4"/>
      <c r="D17" s="4"/>
      <c r="E17" s="4"/>
    </row>
  </sheetData>
  <mergeCells count="6">
    <mergeCell ref="A1:E1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" t="s">
        <v>156</v>
      </c>
      <c r="B1" s="1"/>
      <c r="C1" s="1"/>
      <c r="D1" s="1"/>
      <c r="E1" s="1"/>
    </row>
    <row r="3" customFormat="false" ht="17.35" hidden="false" customHeight="false" outlineLevel="0" collapsed="false">
      <c r="A3" s="2" t="s">
        <v>157</v>
      </c>
    </row>
    <row r="4" customFormat="false" ht="15" hidden="false" customHeight="false" outlineLevel="0" collapsed="false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</row>
    <row r="5" customFormat="false" ht="15" hidden="false" customHeight="false" outlineLevel="0" collapsed="false">
      <c r="A5" s="9" t="s">
        <v>163</v>
      </c>
      <c r="B5" s="6" t="s">
        <v>164</v>
      </c>
      <c r="C5" s="10" t="n">
        <v>50</v>
      </c>
      <c r="D5" s="12" t="n">
        <v>1</v>
      </c>
      <c r="E5" s="14" t="n">
        <f aca="false">C5*D5</f>
        <v>50</v>
      </c>
    </row>
    <row r="6" customFormat="false" ht="15" hidden="false" customHeight="false" outlineLevel="0" collapsed="false">
      <c r="A6" s="9" t="s">
        <v>165</v>
      </c>
      <c r="B6" s="6" t="s">
        <v>166</v>
      </c>
      <c r="C6" s="10" t="n">
        <v>5</v>
      </c>
      <c r="D6" s="12" t="n">
        <v>5</v>
      </c>
      <c r="E6" s="14" t="n">
        <f aca="false">C6*D6</f>
        <v>25</v>
      </c>
    </row>
    <row r="7" customFormat="false" ht="15" hidden="false" customHeight="false" outlineLevel="0" collapsed="false">
      <c r="A7" s="9" t="s">
        <v>167</v>
      </c>
      <c r="B7" s="6" t="s">
        <v>168</v>
      </c>
      <c r="C7" s="10" t="n">
        <v>15</v>
      </c>
      <c r="D7" s="12" t="n">
        <v>1</v>
      </c>
      <c r="E7" s="14" t="n">
        <f aca="false">C7*D7</f>
        <v>15</v>
      </c>
    </row>
    <row r="8" customFormat="false" ht="15" hidden="false" customHeight="false" outlineLevel="0" collapsed="false">
      <c r="A8" s="9" t="s">
        <v>169</v>
      </c>
      <c r="B8" s="6" t="s">
        <v>170</v>
      </c>
      <c r="C8" s="10" t="n">
        <v>10</v>
      </c>
      <c r="D8" s="12" t="n">
        <v>2</v>
      </c>
      <c r="E8" s="14" t="n">
        <f aca="false">C8*D8</f>
        <v>20</v>
      </c>
    </row>
    <row r="9" customFormat="false" ht="15" hidden="false" customHeight="false" outlineLevel="0" collapsed="false">
      <c r="A9" s="23" t="s">
        <v>171</v>
      </c>
      <c r="E9" s="24" t="n">
        <f aca="false">SUM(E5:E8)</f>
        <v>110</v>
      </c>
    </row>
    <row r="12" customFormat="false" ht="17.35" hidden="false" customHeight="false" outlineLevel="0" collapsed="false">
      <c r="A12" s="2" t="s">
        <v>172</v>
      </c>
    </row>
    <row r="13" customFormat="false" ht="15" hidden="false" customHeight="false" outlineLevel="0" collapsed="false">
      <c r="A13" s="5" t="s">
        <v>173</v>
      </c>
      <c r="B13" s="5" t="s">
        <v>116</v>
      </c>
      <c r="C13" s="5" t="s">
        <v>174</v>
      </c>
      <c r="D13" s="5" t="s">
        <v>175</v>
      </c>
    </row>
    <row r="14" customFormat="false" ht="15" hidden="false" customHeight="false" outlineLevel="0" collapsed="false">
      <c r="A14" s="22" t="s">
        <v>176</v>
      </c>
      <c r="B14" s="7" t="s">
        <v>177</v>
      </c>
      <c r="C14" s="7" t="s">
        <v>178</v>
      </c>
      <c r="D14" s="7" t="s">
        <v>179</v>
      </c>
    </row>
    <row r="15" customFormat="false" ht="15" hidden="false" customHeight="false" outlineLevel="0" collapsed="false">
      <c r="A15" s="9" t="s">
        <v>180</v>
      </c>
      <c r="B15" s="6" t="s">
        <v>181</v>
      </c>
      <c r="C15" s="6" t="s">
        <v>182</v>
      </c>
      <c r="D15" s="6" t="s">
        <v>183</v>
      </c>
    </row>
    <row r="16" customFormat="false" ht="15" hidden="false" customHeight="false" outlineLevel="0" collapsed="false">
      <c r="A16" s="22" t="s">
        <v>184</v>
      </c>
      <c r="B16" s="7" t="s">
        <v>185</v>
      </c>
      <c r="C16" s="7" t="s">
        <v>186</v>
      </c>
      <c r="D16" s="7" t="s">
        <v>179</v>
      </c>
    </row>
    <row r="17" customFormat="false" ht="15" hidden="false" customHeight="false" outlineLevel="0" collapsed="false">
      <c r="A17" s="9" t="s">
        <v>187</v>
      </c>
      <c r="B17" s="6" t="s">
        <v>188</v>
      </c>
      <c r="C17" s="6" t="s">
        <v>189</v>
      </c>
      <c r="D17" s="6" t="s">
        <v>183</v>
      </c>
    </row>
    <row r="18" customFormat="false" ht="15" hidden="false" customHeight="false" outlineLevel="0" collapsed="false">
      <c r="A18" s="22" t="s">
        <v>190</v>
      </c>
      <c r="B18" s="7" t="s">
        <v>191</v>
      </c>
      <c r="C18" s="7" t="s">
        <v>192</v>
      </c>
      <c r="D18" s="7" t="s">
        <v>193</v>
      </c>
    </row>
    <row r="19" customFormat="false" ht="15" hidden="false" customHeight="false" outlineLevel="0" collapsed="false">
      <c r="A19" s="9" t="s">
        <v>194</v>
      </c>
      <c r="B19" s="6" t="s">
        <v>195</v>
      </c>
      <c r="C19" s="6" t="s">
        <v>196</v>
      </c>
      <c r="D19" s="6" t="s">
        <v>193</v>
      </c>
    </row>
    <row r="22" customFormat="false" ht="17.35" hidden="false" customHeight="false" outlineLevel="0" collapsed="false">
      <c r="A22" s="2" t="s">
        <v>197</v>
      </c>
    </row>
    <row r="23" customFormat="false" ht="15" hidden="false" customHeight="false" outlineLevel="0" collapsed="false">
      <c r="A23" s="3" t="s">
        <v>198</v>
      </c>
      <c r="B23" s="0" t="s">
        <v>199</v>
      </c>
    </row>
    <row r="24" customFormat="false" ht="15" hidden="false" customHeight="false" outlineLevel="0" collapsed="false">
      <c r="A24" s="3" t="s">
        <v>200</v>
      </c>
      <c r="B24" s="0" t="s">
        <v>201</v>
      </c>
    </row>
    <row r="25" customFormat="false" ht="15" hidden="false" customHeight="false" outlineLevel="0" collapsed="false">
      <c r="A25" s="3" t="s">
        <v>202</v>
      </c>
      <c r="B25" s="0" t="s">
        <v>203</v>
      </c>
    </row>
    <row r="26" customFormat="false" ht="15" hidden="false" customHeight="false" outlineLevel="0" collapsed="false">
      <c r="A26" s="3" t="s">
        <v>204</v>
      </c>
      <c r="B26" s="0" t="s">
        <v>205</v>
      </c>
    </row>
    <row r="27" customFormat="false" ht="15" hidden="false" customHeight="false" outlineLevel="0" collapsed="false">
      <c r="A27" s="3" t="s">
        <v>206</v>
      </c>
      <c r="B27" s="0" t="s">
        <v>207</v>
      </c>
    </row>
    <row r="28" customFormat="false" ht="15" hidden="false" customHeight="false" outlineLevel="0" collapsed="false">
      <c r="A28" s="3" t="s">
        <v>208</v>
      </c>
      <c r="B28" s="0" t="s">
        <v>209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22.05" hidden="false" customHeight="false" outlineLevel="0" collapsed="false">
      <c r="A1" s="1" t="s">
        <v>210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211</v>
      </c>
    </row>
    <row r="4" customFormat="false" ht="15" hidden="false" customHeight="false" outlineLevel="0" collapsed="false">
      <c r="A4" s="5" t="s">
        <v>212</v>
      </c>
      <c r="B4" s="5" t="s">
        <v>213</v>
      </c>
      <c r="C4" s="5" t="s">
        <v>214</v>
      </c>
      <c r="D4" s="5" t="s">
        <v>215</v>
      </c>
      <c r="E4" s="5" t="s">
        <v>216</v>
      </c>
      <c r="F4" s="5" t="s">
        <v>217</v>
      </c>
    </row>
    <row r="5" customFormat="false" ht="15" hidden="false" customHeight="false" outlineLevel="0" collapsed="false">
      <c r="A5" s="9" t="s">
        <v>218</v>
      </c>
      <c r="B5" s="10" t="n">
        <v>30</v>
      </c>
      <c r="C5" s="6" t="s">
        <v>219</v>
      </c>
      <c r="D5" s="12" t="n">
        <v>15</v>
      </c>
      <c r="E5" s="14" t="n">
        <f aca="false">B5*D5</f>
        <v>450</v>
      </c>
      <c r="F5" s="25" t="n">
        <f aca="false">(B5-6)/B5</f>
        <v>0.8</v>
      </c>
    </row>
    <row r="6" customFormat="false" ht="15" hidden="false" customHeight="false" outlineLevel="0" collapsed="false">
      <c r="A6" s="9" t="s">
        <v>220</v>
      </c>
      <c r="B6" s="10" t="n">
        <v>45</v>
      </c>
      <c r="C6" s="6" t="s">
        <v>219</v>
      </c>
      <c r="D6" s="12" t="n">
        <v>35</v>
      </c>
      <c r="E6" s="14" t="n">
        <f aca="false">B6*D6</f>
        <v>1575</v>
      </c>
      <c r="F6" s="25" t="n">
        <f aca="false">(B6-6)/B6</f>
        <v>0.866666666666667</v>
      </c>
    </row>
    <row r="7" customFormat="false" ht="15" hidden="false" customHeight="false" outlineLevel="0" collapsed="false">
      <c r="A7" s="9" t="s">
        <v>221</v>
      </c>
      <c r="B7" s="10" t="n">
        <v>75</v>
      </c>
      <c r="C7" s="6" t="s">
        <v>222</v>
      </c>
      <c r="D7" s="12" t="n">
        <v>10</v>
      </c>
      <c r="E7" s="14" t="n">
        <f aca="false">B7*D7</f>
        <v>750</v>
      </c>
      <c r="F7" s="25" t="n">
        <f aca="false">(B7-12)/B7</f>
        <v>0.84</v>
      </c>
    </row>
    <row r="8" customFormat="false" ht="15" hidden="false" customHeight="false" outlineLevel="0" collapsed="false">
      <c r="A8" s="15" t="s">
        <v>223</v>
      </c>
      <c r="B8" s="10"/>
      <c r="C8" s="6"/>
      <c r="D8" s="6" t="n">
        <f aca="false">SUM(D5:D7)</f>
        <v>60</v>
      </c>
      <c r="E8" s="16" t="n">
        <f aca="false">SUM(E5:E7)</f>
        <v>2775</v>
      </c>
      <c r="F8" s="25"/>
    </row>
    <row r="11" customFormat="false" ht="17.35" hidden="false" customHeight="false" outlineLevel="0" collapsed="false">
      <c r="A11" s="2" t="s">
        <v>224</v>
      </c>
    </row>
    <row r="12" customFormat="false" ht="15" hidden="false" customHeight="false" outlineLevel="0" collapsed="false">
      <c r="A12" s="5" t="s">
        <v>115</v>
      </c>
      <c r="B12" s="5" t="s">
        <v>225</v>
      </c>
      <c r="C12" s="5" t="s">
        <v>226</v>
      </c>
      <c r="D12" s="5" t="s">
        <v>227</v>
      </c>
    </row>
    <row r="13" customFormat="false" ht="15" hidden="false" customHeight="false" outlineLevel="0" collapsed="false">
      <c r="A13" s="9" t="s">
        <v>228</v>
      </c>
      <c r="B13" s="6" t="s">
        <v>229</v>
      </c>
      <c r="C13" s="6" t="s">
        <v>230</v>
      </c>
      <c r="D13" s="6" t="s">
        <v>231</v>
      </c>
    </row>
    <row r="14" customFormat="false" ht="15" hidden="false" customHeight="false" outlineLevel="0" collapsed="false">
      <c r="A14" s="22" t="s">
        <v>232</v>
      </c>
      <c r="B14" s="7" t="s">
        <v>233</v>
      </c>
      <c r="C14" s="7" t="s">
        <v>234</v>
      </c>
      <c r="D14" s="7" t="s">
        <v>235</v>
      </c>
    </row>
    <row r="15" customFormat="false" ht="15" hidden="false" customHeight="false" outlineLevel="0" collapsed="false">
      <c r="A15" s="9" t="s">
        <v>236</v>
      </c>
      <c r="B15" s="6" t="s">
        <v>237</v>
      </c>
      <c r="C15" s="6" t="s">
        <v>238</v>
      </c>
      <c r="D15" s="6" t="s">
        <v>239</v>
      </c>
    </row>
    <row r="16" customFormat="false" ht="15" hidden="false" customHeight="false" outlineLevel="0" collapsed="false">
      <c r="A16" s="22" t="s">
        <v>240</v>
      </c>
      <c r="B16" s="7" t="s">
        <v>241</v>
      </c>
      <c r="C16" s="7" t="s">
        <v>242</v>
      </c>
      <c r="D16" s="7" t="s">
        <v>243</v>
      </c>
    </row>
    <row r="17" customFormat="false" ht="15" hidden="false" customHeight="false" outlineLevel="0" collapsed="false">
      <c r="A17" s="9" t="s">
        <v>244</v>
      </c>
      <c r="B17" s="6" t="s">
        <v>245</v>
      </c>
      <c r="C17" s="6" t="s">
        <v>246</v>
      </c>
      <c r="D17" s="6" t="s">
        <v>247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2026-01-28T18:28:15Z</dcterms:created>
  <dc:creator>openpyxl</dc:creator>
  <dc:description/>
  <dc:language>en-US</dc:language>
  <cp:lastModifiedBy/>
  <dcterms:modified xsi:type="dcterms:W3CDTF">2026-01-28T18:28:15Z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